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83AAA2AD-98FB-4308-8E4D-37205B6B43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1" l="1"/>
  <c r="O5" i="1"/>
  <c r="O4" i="1"/>
  <c r="O3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I2" i="1"/>
  <c r="H2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<sst xmlns="http://schemas.openxmlformats.org/spreadsheetml/2006/main" count="18" uniqueCount="17">
  <si>
    <t>ALPHA[°]</t>
  </si>
  <si>
    <t>CL</t>
  </si>
  <si>
    <t>CD</t>
  </si>
  <si>
    <t>Cm</t>
  </si>
  <si>
    <t>L/D</t>
  </si>
  <si>
    <t>Max L/D</t>
  </si>
  <si>
    <t>Alpha ottimale [°]</t>
  </si>
  <si>
    <t>Lift [N]</t>
  </si>
  <si>
    <t>Drag[N]</t>
  </si>
  <si>
    <t>Drag power[W]</t>
  </si>
  <si>
    <t>rho[kg/m^3]</t>
  </si>
  <si>
    <t>Optimal alpha [°]</t>
  </si>
  <si>
    <t>V [m/s]</t>
  </si>
  <si>
    <t>S[m^2]</t>
  </si>
  <si>
    <t>Lift at optimal alpha [N]</t>
  </si>
  <si>
    <t>Drag at optimal alpha[N]</t>
  </si>
  <si>
    <t>Drag power at optimal alpha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</si>
</sst>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NACA2412-Aerodynamic Efficiency(L/D) vs Angle of Attack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Foglio1!$E$1</c:f>
              <c:strCache>
                <c:ptCount val="1"/>
                <c:pt idx="0">
                  <c:v>L/D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Foglio1!$A$2:$A$37</c:f>
              <c:numCache>
                <c:formatCode>General</c:formatCode>
                <c:ptCount val="3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9.5</c:v>
                </c:pt>
                <c:pt idx="27">
                  <c:v>10</c:v>
                </c:pt>
                <c:pt idx="28">
                  <c:v>10.5</c:v>
                </c:pt>
                <c:pt idx="29">
                  <c:v>11</c:v>
                </c:pt>
                <c:pt idx="30">
                  <c:v>11.5</c:v>
                </c:pt>
                <c:pt idx="31">
                  <c:v>12</c:v>
                </c:pt>
                <c:pt idx="32">
                  <c:v>12.5</c:v>
                </c:pt>
                <c:pt idx="33">
                  <c:v>13</c:v>
                </c:pt>
                <c:pt idx="34">
                  <c:v>13.5</c:v>
                </c:pt>
                <c:pt idx="35">
                  <c:v>14</c:v>
                </c:pt>
              </c:numCache>
            </c:numRef>
          </c:xVal>
          <c:yVal>
            <c:numRef>
              <c:f>Foglio1!$E$2:$E$37</c:f>
              <c:numCache>
                <c:formatCode>General</c:formatCode>
                <c:ptCount val="36"/>
                <c:pt idx="0">
                  <c:v>-25.558441558441558</c:v>
                </c:pt>
                <c:pt idx="1">
                  <c:v>-19.307065217391305</c:v>
                </c:pt>
                <c:pt idx="2">
                  <c:v>-12.362093352192362</c:v>
                </c:pt>
                <c:pt idx="3">
                  <c:v>-4.8011782032400587</c:v>
                </c:pt>
                <c:pt idx="4">
                  <c:v>3.3841463414634148</c:v>
                </c:pt>
                <c:pt idx="5">
                  <c:v>12.116903633491312</c:v>
                </c:pt>
                <c:pt idx="6">
                  <c:v>21.534653465346533</c:v>
                </c:pt>
                <c:pt idx="7">
                  <c:v>31.689655172413794</c:v>
                </c:pt>
                <c:pt idx="8">
                  <c:v>42.22419928825623</c:v>
                </c:pt>
                <c:pt idx="9">
                  <c:v>52.763636363636373</c:v>
                </c:pt>
                <c:pt idx="10">
                  <c:v>62.830882352941174</c:v>
                </c:pt>
                <c:pt idx="11">
                  <c:v>71.066907775768541</c:v>
                </c:pt>
                <c:pt idx="12">
                  <c:v>78.501742160278738</c:v>
                </c:pt>
                <c:pt idx="13">
                  <c:v>86.483333333333334</c:v>
                </c:pt>
                <c:pt idx="14">
                  <c:v>94.149443561208258</c:v>
                </c:pt>
                <c:pt idx="15">
                  <c:v>100.81570996978851</c:v>
                </c:pt>
                <c:pt idx="16">
                  <c:v>103.33815028901734</c:v>
                </c:pt>
                <c:pt idx="17">
                  <c:v>105.40055248618785</c:v>
                </c:pt>
                <c:pt idx="18">
                  <c:v>104.7477360931436</c:v>
                </c:pt>
                <c:pt idx="19">
                  <c:v>102.74909963985593</c:v>
                </c:pt>
                <c:pt idx="20">
                  <c:v>100.02217294900221</c:v>
                </c:pt>
                <c:pt idx="21">
                  <c:v>93.002806361085121</c:v>
                </c:pt>
                <c:pt idx="22">
                  <c:v>90.425716768027797</c:v>
                </c:pt>
                <c:pt idx="23">
                  <c:v>88.414634146341456</c:v>
                </c:pt>
                <c:pt idx="24">
                  <c:v>86.321401370906329</c:v>
                </c:pt>
                <c:pt idx="25">
                  <c:v>84.917206623470122</c:v>
                </c:pt>
                <c:pt idx="26">
                  <c:v>83.03934871099051</c:v>
                </c:pt>
                <c:pt idx="27">
                  <c:v>81.062060140754937</c:v>
                </c:pt>
                <c:pt idx="28">
                  <c:v>78.12799043062202</c:v>
                </c:pt>
                <c:pt idx="29">
                  <c:v>76.621160409556325</c:v>
                </c:pt>
                <c:pt idx="30">
                  <c:v>73.764705882352928</c:v>
                </c:pt>
                <c:pt idx="31">
                  <c:v>67.402221149203285</c:v>
                </c:pt>
                <c:pt idx="32">
                  <c:v>65.281207133058984</c:v>
                </c:pt>
                <c:pt idx="33">
                  <c:v>62.404629232747531</c:v>
                </c:pt>
                <c:pt idx="34">
                  <c:v>58.874303898170247</c:v>
                </c:pt>
                <c:pt idx="35">
                  <c:v>54.786418400876229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B-4878-81B1-FA98C7A98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016136"/>
        <c:axId val="1030292488"/>
      </c:scatterChart>
      <c:valAx>
        <c:axId val="1108016136"/>
        <c:scaling>
          <c:orientation val="minMax"/>
          <c:max val="1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 alpha[°]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92488"/>
        <c:crosses val="autoZero"/>
        <c:crossBetween val="midCat"/>
      </c:valAx>
      <c:valAx>
        <c:axId val="1030292488"/>
        <c:scaling>
          <c:orientation val="minMax"/>
          <c:max val="105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16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 2412 - Lift Coefficient vs Angle of Attack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rgbClr val="145F8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Foglio1!$A$2:$A$37</c:f>
              <c:numCache>
                <c:formatCode>General</c:formatCode>
                <c:ptCount val="3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9.5</c:v>
                </c:pt>
                <c:pt idx="27">
                  <c:v>10</c:v>
                </c:pt>
                <c:pt idx="28">
                  <c:v>10.5</c:v>
                </c:pt>
                <c:pt idx="29">
                  <c:v>11</c:v>
                </c:pt>
                <c:pt idx="30">
                  <c:v>11.5</c:v>
                </c:pt>
                <c:pt idx="31">
                  <c:v>12</c:v>
                </c:pt>
                <c:pt idx="32">
                  <c:v>12.5</c:v>
                </c:pt>
                <c:pt idx="33">
                  <c:v>13</c:v>
                </c:pt>
                <c:pt idx="34">
                  <c:v>13.5</c:v>
                </c:pt>
                <c:pt idx="35">
                  <c:v>14</c:v>
                </c:pt>
              </c:numCache>
            </c:numRef>
          </c:xVal>
          <c:yVal>
            <c:numRef>
              <c:f>Foglio1!$B$2:$B$37</c:f>
              <c:numCache>
                <c:formatCode>General</c:formatCode>
                <c:ptCount val="36"/>
                <c:pt idx="0">
                  <c:v>-0.1968</c:v>
                </c:pt>
                <c:pt idx="1">
                  <c:v>-0.1421</c:v>
                </c:pt>
                <c:pt idx="2">
                  <c:v>-8.7400000000000005E-2</c:v>
                </c:pt>
                <c:pt idx="3">
                  <c:v>-3.2599999999999997E-2</c:v>
                </c:pt>
                <c:pt idx="4">
                  <c:v>2.2200000000000001E-2</c:v>
                </c:pt>
                <c:pt idx="5">
                  <c:v>7.6700000000000004E-2</c:v>
                </c:pt>
                <c:pt idx="6">
                  <c:v>0.1305</c:v>
                </c:pt>
                <c:pt idx="7">
                  <c:v>0.18379999999999999</c:v>
                </c:pt>
                <c:pt idx="8">
                  <c:v>0.23730000000000001</c:v>
                </c:pt>
                <c:pt idx="9">
                  <c:v>0.29020000000000001</c:v>
                </c:pt>
                <c:pt idx="10">
                  <c:v>0.34179999999999999</c:v>
                </c:pt>
                <c:pt idx="11">
                  <c:v>0.39300000000000002</c:v>
                </c:pt>
                <c:pt idx="12">
                  <c:v>0.4506</c:v>
                </c:pt>
                <c:pt idx="13">
                  <c:v>0.51890000000000003</c:v>
                </c:pt>
                <c:pt idx="14">
                  <c:v>0.59219999999999995</c:v>
                </c:pt>
                <c:pt idx="15">
                  <c:v>0.66739999999999999</c:v>
                </c:pt>
                <c:pt idx="16">
                  <c:v>0.71509999999999996</c:v>
                </c:pt>
                <c:pt idx="17">
                  <c:v>0.7631</c:v>
                </c:pt>
                <c:pt idx="18">
                  <c:v>0.80969999999999998</c:v>
                </c:pt>
                <c:pt idx="19">
                  <c:v>0.85589999999999999</c:v>
                </c:pt>
                <c:pt idx="20">
                  <c:v>0.9022</c:v>
                </c:pt>
                <c:pt idx="21">
                  <c:v>0.99419999999999997</c:v>
                </c:pt>
                <c:pt idx="22">
                  <c:v>1.0407999999999999</c:v>
                </c:pt>
                <c:pt idx="23">
                  <c:v>1.0874999999999999</c:v>
                </c:pt>
                <c:pt idx="24">
                  <c:v>1.1334</c:v>
                </c:pt>
                <c:pt idx="25">
                  <c:v>1.1795</c:v>
                </c:pt>
                <c:pt idx="26">
                  <c:v>1.224</c:v>
                </c:pt>
                <c:pt idx="27">
                  <c:v>1.2669999999999999</c:v>
                </c:pt>
                <c:pt idx="28">
                  <c:v>1.3063</c:v>
                </c:pt>
                <c:pt idx="29">
                  <c:v>1.347</c:v>
                </c:pt>
                <c:pt idx="30">
                  <c:v>1.3794</c:v>
                </c:pt>
                <c:pt idx="31">
                  <c:v>1.3958999999999999</c:v>
                </c:pt>
                <c:pt idx="32">
                  <c:v>1.4277</c:v>
                </c:pt>
                <c:pt idx="33">
                  <c:v>1.4559</c:v>
                </c:pt>
                <c:pt idx="34">
                  <c:v>1.4801</c:v>
                </c:pt>
                <c:pt idx="35">
                  <c:v>1.5005999999999999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B-41EF-A9A7-29E993EEA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071496"/>
        <c:axId val="1115073544"/>
      </c:scatterChart>
      <c:valAx>
        <c:axId val="111507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Attack, Alpha[°]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73544"/>
        <c:crosses val="autoZero"/>
        <c:crossBetween val="midCat"/>
      </c:valAx>
      <c:valAx>
        <c:axId val="111507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71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 2412 - Drag Coefficient vs Angle of Attack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Foglio1!$A$2:$A$37</c:f>
              <c:numCache>
                <c:formatCode>General</c:formatCode>
                <c:ptCount val="3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9.5</c:v>
                </c:pt>
                <c:pt idx="27">
                  <c:v>10</c:v>
                </c:pt>
                <c:pt idx="28">
                  <c:v>10.5</c:v>
                </c:pt>
                <c:pt idx="29">
                  <c:v>11</c:v>
                </c:pt>
                <c:pt idx="30">
                  <c:v>11.5</c:v>
                </c:pt>
                <c:pt idx="31">
                  <c:v>12</c:v>
                </c:pt>
                <c:pt idx="32">
                  <c:v>12.5</c:v>
                </c:pt>
                <c:pt idx="33">
                  <c:v>13</c:v>
                </c:pt>
                <c:pt idx="34">
                  <c:v>13.5</c:v>
                </c:pt>
                <c:pt idx="35">
                  <c:v>14</c:v>
                </c:pt>
              </c:numCache>
            </c:numRef>
          </c:xVal>
          <c:yVal>
            <c:numRef>
              <c:f>Foglio1!$C$2:$C$37</c:f>
              <c:numCache>
                <c:formatCode>General</c:formatCode>
                <c:ptCount val="36"/>
                <c:pt idx="0">
                  <c:v>7.7000000000000002E-3</c:v>
                </c:pt>
                <c:pt idx="1">
                  <c:v>7.3600000000000002E-3</c:v>
                </c:pt>
                <c:pt idx="2">
                  <c:v>7.0699999999999999E-3</c:v>
                </c:pt>
                <c:pt idx="3">
                  <c:v>6.79E-3</c:v>
                </c:pt>
                <c:pt idx="4">
                  <c:v>6.5599999999999999E-3</c:v>
                </c:pt>
                <c:pt idx="5">
                  <c:v>6.3299999999999997E-3</c:v>
                </c:pt>
                <c:pt idx="6">
                  <c:v>6.0600000000000003E-3</c:v>
                </c:pt>
                <c:pt idx="7">
                  <c:v>5.7999999999999996E-3</c:v>
                </c:pt>
                <c:pt idx="8">
                  <c:v>5.62E-3</c:v>
                </c:pt>
                <c:pt idx="9">
                  <c:v>5.4999999999999997E-3</c:v>
                </c:pt>
                <c:pt idx="10">
                  <c:v>5.4400000000000004E-3</c:v>
                </c:pt>
                <c:pt idx="11">
                  <c:v>5.5300000000000002E-3</c:v>
                </c:pt>
                <c:pt idx="12">
                  <c:v>5.7400000000000003E-3</c:v>
                </c:pt>
                <c:pt idx="13">
                  <c:v>6.0000000000000001E-3</c:v>
                </c:pt>
                <c:pt idx="14">
                  <c:v>6.2899999999999996E-3</c:v>
                </c:pt>
                <c:pt idx="15">
                  <c:v>6.62E-3</c:v>
                </c:pt>
                <c:pt idx="16">
                  <c:v>6.9199999999999999E-3</c:v>
                </c:pt>
                <c:pt idx="17">
                  <c:v>7.2399999999999999E-3</c:v>
                </c:pt>
                <c:pt idx="18">
                  <c:v>7.7299999999999999E-3</c:v>
                </c:pt>
                <c:pt idx="19">
                  <c:v>8.3300000000000006E-3</c:v>
                </c:pt>
                <c:pt idx="20">
                  <c:v>9.0200000000000002E-3</c:v>
                </c:pt>
                <c:pt idx="21">
                  <c:v>1.069E-2</c:v>
                </c:pt>
                <c:pt idx="22">
                  <c:v>1.1509999999999999E-2</c:v>
                </c:pt>
                <c:pt idx="23">
                  <c:v>1.23E-2</c:v>
                </c:pt>
                <c:pt idx="24">
                  <c:v>1.3129999999999999E-2</c:v>
                </c:pt>
                <c:pt idx="25">
                  <c:v>1.389E-2</c:v>
                </c:pt>
                <c:pt idx="26">
                  <c:v>1.474E-2</c:v>
                </c:pt>
                <c:pt idx="27">
                  <c:v>1.5630000000000002E-2</c:v>
                </c:pt>
                <c:pt idx="28">
                  <c:v>1.6719999999999999E-2</c:v>
                </c:pt>
                <c:pt idx="29">
                  <c:v>1.7579999999999998E-2</c:v>
                </c:pt>
                <c:pt idx="30">
                  <c:v>1.8700000000000001E-2</c:v>
                </c:pt>
                <c:pt idx="31">
                  <c:v>2.0709999999999999E-2</c:v>
                </c:pt>
                <c:pt idx="32">
                  <c:v>2.1870000000000001E-2</c:v>
                </c:pt>
                <c:pt idx="33">
                  <c:v>2.333E-2</c:v>
                </c:pt>
                <c:pt idx="34">
                  <c:v>2.5139999999999999E-2</c:v>
                </c:pt>
                <c:pt idx="35">
                  <c:v>2.7390000000000001E-2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8-4158-BF3C-F4C58144E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665160"/>
        <c:axId val="983669768"/>
      </c:scatterChart>
      <c:valAx>
        <c:axId val="983665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69768"/>
        <c:crosses val="autoZero"/>
        <c:crossBetween val="midCat"/>
      </c:valAx>
      <c:valAx>
        <c:axId val="98366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65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 2412 - Lift Force vs Angle of Attack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Foglio1!$H$1</c:f>
              <c:strCache>
                <c:ptCount val="1"/>
                <c:pt idx="0">
                  <c:v>Lift 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Foglio1!$A$2:$A$37</c:f>
              <c:numCache>
                <c:formatCode>General</c:formatCode>
                <c:ptCount val="3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9.5</c:v>
                </c:pt>
                <c:pt idx="27">
                  <c:v>10</c:v>
                </c:pt>
                <c:pt idx="28">
                  <c:v>10.5</c:v>
                </c:pt>
                <c:pt idx="29">
                  <c:v>11</c:v>
                </c:pt>
                <c:pt idx="30">
                  <c:v>11.5</c:v>
                </c:pt>
                <c:pt idx="31">
                  <c:v>12</c:v>
                </c:pt>
                <c:pt idx="32">
                  <c:v>12.5</c:v>
                </c:pt>
                <c:pt idx="33">
                  <c:v>13</c:v>
                </c:pt>
                <c:pt idx="34">
                  <c:v>13.5</c:v>
                </c:pt>
                <c:pt idx="35">
                  <c:v>14</c:v>
                </c:pt>
              </c:numCache>
            </c:numRef>
          </c:xVal>
          <c:yVal>
            <c:numRef>
              <c:f>Foglio1!$H$2:$H$37</c:f>
              <c:numCache>
                <c:formatCode>General</c:formatCode>
                <c:ptCount val="36"/>
                <c:pt idx="0">
                  <c:v>-192.86400000000003</c:v>
                </c:pt>
                <c:pt idx="1">
                  <c:v>-139.25800000000001</c:v>
                </c:pt>
                <c:pt idx="2">
                  <c:v>-85.652000000000015</c:v>
                </c:pt>
                <c:pt idx="3">
                  <c:v>-31.948</c:v>
                </c:pt>
                <c:pt idx="4">
                  <c:v>21.756000000000004</c:v>
                </c:pt>
                <c:pt idx="5">
                  <c:v>75.166000000000011</c:v>
                </c:pt>
                <c:pt idx="6">
                  <c:v>127.89000000000001</c:v>
                </c:pt>
                <c:pt idx="7">
                  <c:v>180.12400000000002</c:v>
                </c:pt>
                <c:pt idx="8">
                  <c:v>232.55400000000003</c:v>
                </c:pt>
                <c:pt idx="9">
                  <c:v>284.39600000000007</c:v>
                </c:pt>
                <c:pt idx="10">
                  <c:v>334.96400000000006</c:v>
                </c:pt>
                <c:pt idx="11">
                  <c:v>385.14000000000004</c:v>
                </c:pt>
                <c:pt idx="12">
                  <c:v>441.58800000000008</c:v>
                </c:pt>
                <c:pt idx="13">
                  <c:v>508.52200000000011</c:v>
                </c:pt>
                <c:pt idx="14">
                  <c:v>580.35599999999999</c:v>
                </c:pt>
                <c:pt idx="15">
                  <c:v>654.05200000000002</c:v>
                </c:pt>
                <c:pt idx="16">
                  <c:v>700.798</c:v>
                </c:pt>
                <c:pt idx="17">
                  <c:v>747.83800000000008</c:v>
                </c:pt>
                <c:pt idx="18">
                  <c:v>793.50600000000009</c:v>
                </c:pt>
                <c:pt idx="19">
                  <c:v>838.78200000000004</c:v>
                </c:pt>
                <c:pt idx="20">
                  <c:v>884.15600000000006</c:v>
                </c:pt>
                <c:pt idx="21">
                  <c:v>974.31600000000003</c:v>
                </c:pt>
                <c:pt idx="22">
                  <c:v>1019.984</c:v>
                </c:pt>
                <c:pt idx="23">
                  <c:v>1065.75</c:v>
                </c:pt>
                <c:pt idx="24">
                  <c:v>1110.7320000000002</c:v>
                </c:pt>
                <c:pt idx="25">
                  <c:v>1155.9100000000001</c:v>
                </c:pt>
                <c:pt idx="26">
                  <c:v>1199.5200000000002</c:v>
                </c:pt>
                <c:pt idx="27">
                  <c:v>1241.6600000000001</c:v>
                </c:pt>
                <c:pt idx="28">
                  <c:v>1280.1740000000002</c:v>
                </c:pt>
                <c:pt idx="29">
                  <c:v>1320.0600000000002</c:v>
                </c:pt>
                <c:pt idx="30">
                  <c:v>1351.8120000000001</c:v>
                </c:pt>
                <c:pt idx="31">
                  <c:v>1367.982</c:v>
                </c:pt>
                <c:pt idx="32">
                  <c:v>1399.1460000000002</c:v>
                </c:pt>
                <c:pt idx="33">
                  <c:v>1426.7820000000002</c:v>
                </c:pt>
                <c:pt idx="34">
                  <c:v>1450.498</c:v>
                </c:pt>
                <c:pt idx="35">
                  <c:v>1470.5880000000002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2-4E91-8954-0C9368802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473480"/>
        <c:axId val="850476552"/>
      </c:scatterChart>
      <c:valAx>
        <c:axId val="85047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Attack, alpha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76552"/>
        <c:crosses val="autoZero"/>
        <c:crossBetween val="midCat"/>
      </c:valAx>
      <c:valAx>
        <c:axId val="85047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 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73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 2412 - Drag Force vs Angle of Attack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Foglio1!$I$1</c:f>
              <c:strCache>
                <c:ptCount val="1"/>
                <c:pt idx="0">
                  <c:v>Drag[N]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Foglio1!$A$2:$A$37</c:f>
              <c:numCache>
                <c:formatCode>General</c:formatCode>
                <c:ptCount val="3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9.5</c:v>
                </c:pt>
                <c:pt idx="27">
                  <c:v>10</c:v>
                </c:pt>
                <c:pt idx="28">
                  <c:v>10.5</c:v>
                </c:pt>
                <c:pt idx="29">
                  <c:v>11</c:v>
                </c:pt>
                <c:pt idx="30">
                  <c:v>11.5</c:v>
                </c:pt>
                <c:pt idx="31">
                  <c:v>12</c:v>
                </c:pt>
                <c:pt idx="32">
                  <c:v>12.5</c:v>
                </c:pt>
                <c:pt idx="33">
                  <c:v>13</c:v>
                </c:pt>
                <c:pt idx="34">
                  <c:v>13.5</c:v>
                </c:pt>
                <c:pt idx="35">
                  <c:v>14</c:v>
                </c:pt>
              </c:numCache>
            </c:numRef>
          </c:xVal>
          <c:yVal>
            <c:numRef>
              <c:f>Foglio1!$I$2:$I$37</c:f>
              <c:numCache>
                <c:formatCode>General</c:formatCode>
                <c:ptCount val="36"/>
                <c:pt idx="0">
                  <c:v>7.5460000000000012</c:v>
                </c:pt>
                <c:pt idx="1">
                  <c:v>7.2128000000000014</c:v>
                </c:pt>
                <c:pt idx="2">
                  <c:v>6.9286000000000003</c:v>
                </c:pt>
                <c:pt idx="3">
                  <c:v>6.6542000000000012</c:v>
                </c:pt>
                <c:pt idx="4">
                  <c:v>6.4288000000000007</c:v>
                </c:pt>
                <c:pt idx="5">
                  <c:v>6.2034000000000002</c:v>
                </c:pt>
                <c:pt idx="6">
                  <c:v>5.9388000000000005</c:v>
                </c:pt>
                <c:pt idx="7">
                  <c:v>5.6840000000000002</c:v>
                </c:pt>
                <c:pt idx="8">
                  <c:v>5.5076000000000009</c:v>
                </c:pt>
                <c:pt idx="9">
                  <c:v>5.3900000000000006</c:v>
                </c:pt>
                <c:pt idx="10">
                  <c:v>5.3312000000000008</c:v>
                </c:pt>
                <c:pt idx="11">
                  <c:v>5.4194000000000004</c:v>
                </c:pt>
                <c:pt idx="12">
                  <c:v>5.6252000000000013</c:v>
                </c:pt>
                <c:pt idx="13">
                  <c:v>5.8800000000000008</c:v>
                </c:pt>
                <c:pt idx="14">
                  <c:v>6.1642000000000001</c:v>
                </c:pt>
                <c:pt idx="15">
                  <c:v>6.4876000000000005</c:v>
                </c:pt>
                <c:pt idx="16">
                  <c:v>6.781600000000001</c:v>
                </c:pt>
                <c:pt idx="17">
                  <c:v>7.0952000000000011</c:v>
                </c:pt>
                <c:pt idx="18">
                  <c:v>7.575400000000001</c:v>
                </c:pt>
                <c:pt idx="19">
                  <c:v>8.1634000000000011</c:v>
                </c:pt>
                <c:pt idx="20">
                  <c:v>8.8396000000000008</c:v>
                </c:pt>
                <c:pt idx="21">
                  <c:v>10.4762</c:v>
                </c:pt>
                <c:pt idx="22">
                  <c:v>11.279800000000002</c:v>
                </c:pt>
                <c:pt idx="23">
                  <c:v>12.054000000000002</c:v>
                </c:pt>
                <c:pt idx="24">
                  <c:v>12.8674</c:v>
                </c:pt>
                <c:pt idx="25">
                  <c:v>13.612200000000001</c:v>
                </c:pt>
                <c:pt idx="26">
                  <c:v>14.445200000000002</c:v>
                </c:pt>
                <c:pt idx="27">
                  <c:v>15.317400000000003</c:v>
                </c:pt>
                <c:pt idx="28">
                  <c:v>16.3856</c:v>
                </c:pt>
                <c:pt idx="29">
                  <c:v>17.228400000000001</c:v>
                </c:pt>
                <c:pt idx="30">
                  <c:v>18.326000000000004</c:v>
                </c:pt>
                <c:pt idx="31">
                  <c:v>20.2958</c:v>
                </c:pt>
                <c:pt idx="32">
                  <c:v>21.432600000000004</c:v>
                </c:pt>
                <c:pt idx="33">
                  <c:v>22.863400000000002</c:v>
                </c:pt>
                <c:pt idx="34">
                  <c:v>24.637200000000004</c:v>
                </c:pt>
                <c:pt idx="35">
                  <c:v>26.842200000000005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5-4B1F-B337-0AF42C52D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66568"/>
        <c:axId val="1068873224"/>
      </c:scatterChart>
      <c:valAx>
        <c:axId val="106886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Attack, alpha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73224"/>
        <c:crosses val="autoZero"/>
        <c:crossBetween val="midCat"/>
      </c:valAx>
      <c:valAx>
        <c:axId val="106887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866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NACA 2412 - Drag Power vs Angle of Attack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Foglio1!$J$1</c:f>
              <c:strCache>
                <c:ptCount val="1"/>
                <c:pt idx="0">
                  <c:v>Drag power[W]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Foglio1!$A$2:$A$37</c:f>
              <c:numCache>
                <c:formatCode>General</c:formatCode>
                <c:ptCount val="3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9.5</c:v>
                </c:pt>
                <c:pt idx="27">
                  <c:v>10</c:v>
                </c:pt>
                <c:pt idx="28">
                  <c:v>10.5</c:v>
                </c:pt>
                <c:pt idx="29">
                  <c:v>11</c:v>
                </c:pt>
                <c:pt idx="30">
                  <c:v>11.5</c:v>
                </c:pt>
                <c:pt idx="31">
                  <c:v>12</c:v>
                </c:pt>
                <c:pt idx="32">
                  <c:v>12.5</c:v>
                </c:pt>
                <c:pt idx="33">
                  <c:v>13</c:v>
                </c:pt>
                <c:pt idx="34">
                  <c:v>13.5</c:v>
                </c:pt>
                <c:pt idx="35">
                  <c:v>14</c:v>
                </c:pt>
              </c:numCache>
            </c:numRef>
          </c:xVal>
          <c:yVal>
            <c:numRef>
              <c:f>Foglio1!$J$2:$J$37</c:f>
              <c:numCache>
                <c:formatCode>General</c:formatCode>
                <c:ptCount val="36"/>
                <c:pt idx="0">
                  <c:v>301.84000000000003</c:v>
                </c:pt>
                <c:pt idx="1">
                  <c:v>288.51200000000006</c:v>
                </c:pt>
                <c:pt idx="2">
                  <c:v>277.14400000000001</c:v>
                </c:pt>
                <c:pt idx="3">
                  <c:v>266.16800000000006</c:v>
                </c:pt>
                <c:pt idx="4">
                  <c:v>257.15200000000004</c:v>
                </c:pt>
                <c:pt idx="5">
                  <c:v>248.13600000000002</c:v>
                </c:pt>
                <c:pt idx="6">
                  <c:v>237.55200000000002</c:v>
                </c:pt>
                <c:pt idx="7">
                  <c:v>227.36</c:v>
                </c:pt>
                <c:pt idx="8">
                  <c:v>220.30400000000003</c:v>
                </c:pt>
                <c:pt idx="9">
                  <c:v>215.60000000000002</c:v>
                </c:pt>
                <c:pt idx="10">
                  <c:v>213.24800000000005</c:v>
                </c:pt>
                <c:pt idx="11">
                  <c:v>216.77600000000001</c:v>
                </c:pt>
                <c:pt idx="12">
                  <c:v>225.00800000000004</c:v>
                </c:pt>
                <c:pt idx="13">
                  <c:v>235.20000000000005</c:v>
                </c:pt>
                <c:pt idx="14">
                  <c:v>246.56800000000001</c:v>
                </c:pt>
                <c:pt idx="15">
                  <c:v>259.50400000000002</c:v>
                </c:pt>
                <c:pt idx="16">
                  <c:v>271.26400000000001</c:v>
                </c:pt>
                <c:pt idx="17">
                  <c:v>283.80800000000005</c:v>
                </c:pt>
                <c:pt idx="18">
                  <c:v>303.01600000000002</c:v>
                </c:pt>
                <c:pt idx="19">
                  <c:v>326.53600000000006</c:v>
                </c:pt>
                <c:pt idx="20">
                  <c:v>353.58400000000006</c:v>
                </c:pt>
                <c:pt idx="21">
                  <c:v>419.048</c:v>
                </c:pt>
                <c:pt idx="22">
                  <c:v>451.19200000000006</c:v>
                </c:pt>
                <c:pt idx="23">
                  <c:v>482.16000000000008</c:v>
                </c:pt>
                <c:pt idx="24">
                  <c:v>514.69600000000003</c:v>
                </c:pt>
                <c:pt idx="25">
                  <c:v>544.48800000000006</c:v>
                </c:pt>
                <c:pt idx="26">
                  <c:v>577.80800000000011</c:v>
                </c:pt>
                <c:pt idx="27">
                  <c:v>612.69600000000014</c:v>
                </c:pt>
                <c:pt idx="28">
                  <c:v>655.42399999999998</c:v>
                </c:pt>
                <c:pt idx="29">
                  <c:v>689.13599999999997</c:v>
                </c:pt>
                <c:pt idx="30">
                  <c:v>733.04000000000019</c:v>
                </c:pt>
                <c:pt idx="31">
                  <c:v>811.83199999999999</c:v>
                </c:pt>
                <c:pt idx="32">
                  <c:v>857.3040000000002</c:v>
                </c:pt>
                <c:pt idx="33">
                  <c:v>914.53600000000006</c:v>
                </c:pt>
                <c:pt idx="34">
                  <c:v>985.48800000000017</c:v>
                </c:pt>
                <c:pt idx="35">
                  <c:v>1073.6880000000001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2-448F-BB1E-42F03DC9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75880"/>
        <c:axId val="983377928"/>
      </c:scatterChart>
      <c:valAx>
        <c:axId val="98337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attack, alpha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7928"/>
        <c:crosses val="autoZero"/>
        <c:crossBetween val="midCat"/>
      </c:valAx>
      <c:valAx>
        <c:axId val="98337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Power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5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266700</xdr:colOff>
      <xdr:row>7</xdr:row>
      <xdr:rowOff>76200</xdr:rowOff>
    </xdr:from>
    <xdr:to>
      <xdr:col>27</xdr:col>
      <xdr:colOff>571500</xdr:colOff>
      <xdr:row>21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917C037-7E31-3BB1-94F2-C602D1518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266700</xdr:colOff>
      <xdr:row>23</xdr:row>
      <xdr:rowOff>142875</xdr:rowOff>
    </xdr:from>
    <xdr:to>
      <xdr:col>27</xdr:col>
      <xdr:colOff>571500</xdr:colOff>
      <xdr:row>38</xdr:row>
      <xdr:rowOff>28575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63C108F-2CB1-87BC-4C3D-20A0D028ACD3}"/>
            </a:ext>
            <a:ext uri="{147F2762-F138-4A5C-976F-8EAC2B608ADB}">
              <a16:predDERef xmlns:a16="http://schemas.microsoft.com/office/drawing/2014/main" pred="{9917C037-7E31-3BB1-94F2-C602D1518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219075</xdr:colOff>
      <xdr:row>39</xdr:row>
      <xdr:rowOff>171450</xdr:rowOff>
    </xdr:from>
    <xdr:to>
      <xdr:col>27</xdr:col>
      <xdr:colOff>523875</xdr:colOff>
      <xdr:row>54</xdr:row>
      <xdr:rowOff>57150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13C5A03-0E02-AE41-E7CB-2F9015EDF4D6}"/>
            </a:ext>
            <a:ext uri="{147F2762-F138-4A5C-976F-8EAC2B608ADB}">
              <a16:predDERef xmlns:a16="http://schemas.microsoft.com/office/drawing/2014/main" pred="{A63C108F-2CB1-87BC-4C3D-20A0D028A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10</xdr:row>
      <xdr:rowOff>171450</xdr:rowOff>
    </xdr:from>
    <xdr:to>
      <xdr:col>15</xdr:col>
      <xdr:colOff>590550</xdr:colOff>
      <xdr:row>25</xdr:row>
      <xdr:rowOff>57150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AA7F1EB-046E-CF83-95AF-DDCB5A618B41}"/>
            </a:ext>
            <a:ext uri="{147F2762-F138-4A5C-976F-8EAC2B608ADB}">
              <a16:predDERef xmlns:a16="http://schemas.microsoft.com/office/drawing/2014/main" pred="{B13C5A03-0E02-AE41-E7CB-2F9015EDF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47625</xdr:colOff>
      <xdr:row>26</xdr:row>
      <xdr:rowOff>104775</xdr:rowOff>
    </xdr:from>
    <xdr:to>
      <xdr:col>15</xdr:col>
      <xdr:colOff>581025</xdr:colOff>
      <xdr:row>40</xdr:row>
      <xdr:rowOff>180975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A197F3D-D3F1-D9C2-9184-FE794B29D600}"/>
            </a:ext>
            <a:ext uri="{147F2762-F138-4A5C-976F-8EAC2B608ADB}">
              <a16:predDERef xmlns:a16="http://schemas.microsoft.com/office/drawing/2014/main" pred="{3AA7F1EB-046E-CF83-95AF-DDCB5A618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19050</xdr:colOff>
      <xdr:row>42</xdr:row>
      <xdr:rowOff>142875</xdr:rowOff>
    </xdr:from>
    <xdr:to>
      <xdr:col>15</xdr:col>
      <xdr:colOff>552450</xdr:colOff>
      <xdr:row>57</xdr:row>
      <xdr:rowOff>28575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4FCF5556-E727-102A-E28C-78E465ECBFBA}"/>
            </a:ext>
            <a:ext uri="{147F2762-F138-4A5C-976F-8EAC2B608ADB}">
              <a16:predDERef xmlns:a16="http://schemas.microsoft.com/office/drawing/2014/main" pred="{2A197F3D-D3F1-D9C2-9184-FE794B29D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A25" workbookViewId="0">
      <selection activeCell="J1" activeCellId="1" sqref="A1:A1048576 J1:J1048576"/>
    </sheetView>
  </sheetViews>
  <sheetFormatPr defaultRowHeight="15"/>
  <cols>
    <col min="7" max="7" width="16.85546875" customWidth="1"/>
    <col min="8" max="8" width="11.5703125" customWidth="1"/>
    <col min="10" max="10" width="13.5703125" customWidth="1"/>
    <col min="11" max="11" width="11.42578125" customWidth="1"/>
    <col min="14" max="14" width="28" customWidth="1"/>
    <col min="15" max="15" width="14.2851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L1" s="2"/>
      <c r="O1" s="2"/>
    </row>
    <row r="2" spans="1:19">
      <c r="A2">
        <v>-4</v>
      </c>
      <c r="B2">
        <v>-0.1968</v>
      </c>
      <c r="C2">
        <v>7.7000000000000002E-3</v>
      </c>
      <c r="D2">
        <v>-5.5399999999999998E-2</v>
      </c>
      <c r="E2">
        <f>B2/C2</f>
        <v>-25.558441558441558</v>
      </c>
      <c r="F2" s="1">
        <f>MAX(E2:E37)</f>
        <v>105.40055248618785</v>
      </c>
      <c r="G2">
        <f>_xlfn.XLOOKUP(F2,E2:E37,A2:A37)</f>
        <v>4.5</v>
      </c>
      <c r="H2">
        <f>0.5*$L$2*($L$3^2)*$L$4*B2</f>
        <v>-192.86400000000003</v>
      </c>
      <c r="I2">
        <f>0.5*$L$2*($L$3^2)*$L$4*C2</f>
        <v>7.5460000000000012</v>
      </c>
      <c r="J2">
        <f>I2*$L$3</f>
        <v>301.84000000000003</v>
      </c>
      <c r="K2" t="s">
        <v>10</v>
      </c>
      <c r="L2">
        <v>1.2250000000000001</v>
      </c>
      <c r="N2" t="s">
        <v>11</v>
      </c>
      <c r="O2">
        <f>G2</f>
        <v>4.5</v>
      </c>
    </row>
    <row r="3" spans="1:19">
      <c r="A3">
        <v>-3.5</v>
      </c>
      <c r="B3">
        <v>-0.1421</v>
      </c>
      <c r="C3">
        <v>7.3600000000000002E-3</v>
      </c>
      <c r="D3">
        <v>-5.5E-2</v>
      </c>
      <c r="E3">
        <f t="shared" ref="E3:E37" si="0">B3/C3</f>
        <v>-19.307065217391305</v>
      </c>
      <c r="F3" s="1"/>
      <c r="H3">
        <f t="shared" ref="H3:H37" si="1">0.5*$L$2*($L$3^2)*$L$4*B3</f>
        <v>-139.25800000000001</v>
      </c>
      <c r="I3">
        <f t="shared" ref="I3:I37" si="2">0.5*$L$2*($L$3^2)*$L$4*C3</f>
        <v>7.2128000000000014</v>
      </c>
      <c r="J3">
        <f t="shared" ref="J3:J37" si="3">I3*$L$3</f>
        <v>288.51200000000006</v>
      </c>
      <c r="K3" t="s">
        <v>12</v>
      </c>
      <c r="L3" s="1">
        <v>40</v>
      </c>
      <c r="N3" t="s">
        <v>5</v>
      </c>
      <c r="O3" s="3">
        <f>F2</f>
        <v>105.40055248618785</v>
      </c>
      <c r="Q3" s="2"/>
      <c r="S3" s="1"/>
    </row>
    <row r="4" spans="1:19">
      <c r="A4">
        <v>-3</v>
      </c>
      <c r="B4">
        <v>-8.7400000000000005E-2</v>
      </c>
      <c r="C4">
        <v>7.0699999999999999E-3</v>
      </c>
      <c r="D4">
        <v>-5.4699999999999999E-2</v>
      </c>
      <c r="E4">
        <f t="shared" si="0"/>
        <v>-12.362093352192362</v>
      </c>
      <c r="F4" s="1"/>
      <c r="G4" s="1"/>
      <c r="H4">
        <f t="shared" si="1"/>
        <v>-85.652000000000015</v>
      </c>
      <c r="I4">
        <f t="shared" si="2"/>
        <v>6.9286000000000003</v>
      </c>
      <c r="J4">
        <f t="shared" si="3"/>
        <v>277.14400000000001</v>
      </c>
      <c r="K4" t="s">
        <v>13</v>
      </c>
      <c r="L4">
        <v>1</v>
      </c>
      <c r="N4" t="s">
        <v>14</v>
      </c>
      <c r="O4">
        <f>_xlfn.XLOOKUP($O$2,$A$2:$A$37,$H$2:$H$37)</f>
        <v>747.83800000000008</v>
      </c>
    </row>
    <row r="5" spans="1:19">
      <c r="A5">
        <v>-2.5</v>
      </c>
      <c r="B5">
        <v>-3.2599999999999997E-2</v>
      </c>
      <c r="C5">
        <v>6.79E-3</v>
      </c>
      <c r="D5">
        <v>-5.4300000000000001E-2</v>
      </c>
      <c r="E5">
        <f t="shared" si="0"/>
        <v>-4.8011782032400587</v>
      </c>
      <c r="F5" s="1"/>
      <c r="H5">
        <f t="shared" si="1"/>
        <v>-31.948</v>
      </c>
      <c r="I5">
        <f t="shared" si="2"/>
        <v>6.6542000000000012</v>
      </c>
      <c r="J5">
        <f t="shared" si="3"/>
        <v>266.16800000000006</v>
      </c>
      <c r="N5" t="s">
        <v>15</v>
      </c>
      <c r="O5">
        <f>_xlfn.XLOOKUP($O$2,$A$2:$A$37,$I$2:$I$37)</f>
        <v>7.0952000000000011</v>
      </c>
    </row>
    <row r="6" spans="1:19">
      <c r="A6">
        <v>-2</v>
      </c>
      <c r="B6">
        <v>2.2200000000000001E-2</v>
      </c>
      <c r="C6">
        <v>6.5599999999999999E-3</v>
      </c>
      <c r="D6">
        <v>-5.3999999999999999E-2</v>
      </c>
      <c r="E6">
        <f t="shared" si="0"/>
        <v>3.3841463414634148</v>
      </c>
      <c r="F6" s="1"/>
      <c r="H6">
        <f t="shared" si="1"/>
        <v>21.756000000000004</v>
      </c>
      <c r="I6">
        <f t="shared" si="2"/>
        <v>6.4288000000000007</v>
      </c>
      <c r="J6">
        <f t="shared" si="3"/>
        <v>257.15200000000004</v>
      </c>
      <c r="N6" t="s">
        <v>16</v>
      </c>
      <c r="O6">
        <f>_xlfn.XLOOKUP($O$2,$A$2:$A$37,$J$2:$J$37)</f>
        <v>283.80800000000005</v>
      </c>
    </row>
    <row r="7" spans="1:19">
      <c r="A7">
        <v>-1.5</v>
      </c>
      <c r="B7">
        <v>7.6700000000000004E-2</v>
      </c>
      <c r="C7">
        <v>6.3299999999999997E-3</v>
      </c>
      <c r="D7">
        <v>-5.3600000000000002E-2</v>
      </c>
      <c r="E7">
        <f t="shared" si="0"/>
        <v>12.116903633491312</v>
      </c>
      <c r="F7" s="1"/>
      <c r="H7">
        <f t="shared" si="1"/>
        <v>75.166000000000011</v>
      </c>
      <c r="I7">
        <f t="shared" si="2"/>
        <v>6.2034000000000002</v>
      </c>
      <c r="J7">
        <f t="shared" si="3"/>
        <v>248.13600000000002</v>
      </c>
      <c r="R7" s="1"/>
    </row>
    <row r="8" spans="1:19">
      <c r="A8">
        <v>-1</v>
      </c>
      <c r="B8">
        <v>0.1305</v>
      </c>
      <c r="C8">
        <v>6.0600000000000003E-3</v>
      </c>
      <c r="D8">
        <v>-5.3199999999999997E-2</v>
      </c>
      <c r="E8">
        <f t="shared" si="0"/>
        <v>21.534653465346533</v>
      </c>
      <c r="F8" s="1"/>
      <c r="H8">
        <f t="shared" si="1"/>
        <v>127.89000000000001</v>
      </c>
      <c r="I8">
        <f t="shared" si="2"/>
        <v>5.9388000000000005</v>
      </c>
      <c r="J8">
        <f t="shared" si="3"/>
        <v>237.55200000000002</v>
      </c>
    </row>
    <row r="9" spans="1:19">
      <c r="A9">
        <v>-0.5</v>
      </c>
      <c r="B9">
        <v>0.18379999999999999</v>
      </c>
      <c r="C9">
        <v>5.7999999999999996E-3</v>
      </c>
      <c r="D9">
        <v>-5.2600000000000001E-2</v>
      </c>
      <c r="E9">
        <f t="shared" si="0"/>
        <v>31.689655172413794</v>
      </c>
      <c r="F9" s="1"/>
      <c r="H9">
        <f t="shared" si="1"/>
        <v>180.12400000000002</v>
      </c>
      <c r="I9">
        <f t="shared" si="2"/>
        <v>5.6840000000000002</v>
      </c>
      <c r="J9">
        <f t="shared" si="3"/>
        <v>227.36</v>
      </c>
    </row>
    <row r="10" spans="1:19">
      <c r="A10">
        <v>0</v>
      </c>
      <c r="B10">
        <v>0.23730000000000001</v>
      </c>
      <c r="C10">
        <v>5.62E-3</v>
      </c>
      <c r="D10">
        <v>-5.1999999999999998E-2</v>
      </c>
      <c r="E10">
        <f t="shared" si="0"/>
        <v>42.22419928825623</v>
      </c>
      <c r="F10" s="1"/>
      <c r="H10">
        <f t="shared" si="1"/>
        <v>232.55400000000003</v>
      </c>
      <c r="I10">
        <f t="shared" si="2"/>
        <v>5.5076000000000009</v>
      </c>
      <c r="J10">
        <f t="shared" si="3"/>
        <v>220.30400000000003</v>
      </c>
    </row>
    <row r="11" spans="1:19">
      <c r="A11">
        <v>0.5</v>
      </c>
      <c r="B11">
        <v>0.29020000000000001</v>
      </c>
      <c r="C11">
        <v>5.4999999999999997E-3</v>
      </c>
      <c r="D11">
        <v>-5.1200000000000002E-2</v>
      </c>
      <c r="E11">
        <f t="shared" si="0"/>
        <v>52.763636363636373</v>
      </c>
      <c r="F11" s="1"/>
      <c r="H11">
        <f t="shared" si="1"/>
        <v>284.39600000000007</v>
      </c>
      <c r="I11">
        <f t="shared" si="2"/>
        <v>5.3900000000000006</v>
      </c>
      <c r="J11">
        <f t="shared" si="3"/>
        <v>215.60000000000002</v>
      </c>
    </row>
    <row r="12" spans="1:19">
      <c r="A12">
        <v>1</v>
      </c>
      <c r="B12">
        <v>0.34179999999999999</v>
      </c>
      <c r="C12">
        <v>5.4400000000000004E-3</v>
      </c>
      <c r="D12">
        <v>-4.99E-2</v>
      </c>
      <c r="E12">
        <f t="shared" si="0"/>
        <v>62.830882352941174</v>
      </c>
      <c r="F12" s="1"/>
      <c r="H12">
        <f t="shared" si="1"/>
        <v>334.96400000000006</v>
      </c>
      <c r="I12">
        <f t="shared" si="2"/>
        <v>5.3312000000000008</v>
      </c>
      <c r="J12">
        <f t="shared" si="3"/>
        <v>213.24800000000005</v>
      </c>
    </row>
    <row r="13" spans="1:19">
      <c r="A13">
        <v>1.5</v>
      </c>
      <c r="B13">
        <v>0.39300000000000002</v>
      </c>
      <c r="C13">
        <v>5.5300000000000002E-3</v>
      </c>
      <c r="D13">
        <v>-4.8399999999999999E-2</v>
      </c>
      <c r="E13">
        <f t="shared" si="0"/>
        <v>71.066907775768541</v>
      </c>
      <c r="F13" s="1"/>
      <c r="H13">
        <f t="shared" si="1"/>
        <v>385.14000000000004</v>
      </c>
      <c r="I13">
        <f t="shared" si="2"/>
        <v>5.4194000000000004</v>
      </c>
      <c r="J13">
        <f t="shared" si="3"/>
        <v>216.77600000000001</v>
      </c>
    </row>
    <row r="14" spans="1:19">
      <c r="A14">
        <v>2</v>
      </c>
      <c r="B14">
        <v>0.4506</v>
      </c>
      <c r="C14">
        <v>5.7400000000000003E-3</v>
      </c>
      <c r="D14">
        <v>-4.8399999999999999E-2</v>
      </c>
      <c r="E14">
        <f t="shared" si="0"/>
        <v>78.501742160278738</v>
      </c>
      <c r="F14" s="1"/>
      <c r="H14">
        <f t="shared" si="1"/>
        <v>441.58800000000008</v>
      </c>
      <c r="I14">
        <f t="shared" si="2"/>
        <v>5.6252000000000013</v>
      </c>
      <c r="J14">
        <f t="shared" si="3"/>
        <v>225.00800000000004</v>
      </c>
    </row>
    <row r="15" spans="1:19">
      <c r="A15">
        <v>2.5</v>
      </c>
      <c r="B15">
        <v>0.51890000000000003</v>
      </c>
      <c r="C15">
        <v>6.0000000000000001E-3</v>
      </c>
      <c r="D15">
        <v>-5.0999999999999997E-2</v>
      </c>
      <c r="E15">
        <f t="shared" si="0"/>
        <v>86.483333333333334</v>
      </c>
      <c r="F15" s="1"/>
      <c r="H15">
        <f t="shared" si="1"/>
        <v>508.52200000000011</v>
      </c>
      <c r="I15">
        <f t="shared" si="2"/>
        <v>5.8800000000000008</v>
      </c>
      <c r="J15">
        <f t="shared" si="3"/>
        <v>235.20000000000005</v>
      </c>
    </row>
    <row r="16" spans="1:19">
      <c r="A16">
        <v>3</v>
      </c>
      <c r="B16">
        <v>0.59219999999999995</v>
      </c>
      <c r="C16">
        <v>6.2899999999999996E-3</v>
      </c>
      <c r="D16">
        <v>-5.4800000000000001E-2</v>
      </c>
      <c r="E16">
        <f t="shared" si="0"/>
        <v>94.149443561208258</v>
      </c>
      <c r="F16" s="1"/>
      <c r="H16">
        <f t="shared" si="1"/>
        <v>580.35599999999999</v>
      </c>
      <c r="I16">
        <f t="shared" si="2"/>
        <v>6.1642000000000001</v>
      </c>
      <c r="J16">
        <f t="shared" si="3"/>
        <v>246.56800000000001</v>
      </c>
    </row>
    <row r="17" spans="1:15">
      <c r="A17">
        <v>3.5</v>
      </c>
      <c r="B17">
        <v>0.66739999999999999</v>
      </c>
      <c r="C17">
        <v>6.62E-3</v>
      </c>
      <c r="D17">
        <v>-5.9200000000000003E-2</v>
      </c>
      <c r="E17">
        <f t="shared" si="0"/>
        <v>100.81570996978851</v>
      </c>
      <c r="F17" s="1"/>
      <c r="H17">
        <f t="shared" si="1"/>
        <v>654.05200000000002</v>
      </c>
      <c r="I17">
        <f t="shared" si="2"/>
        <v>6.4876000000000005</v>
      </c>
      <c r="J17">
        <f t="shared" si="3"/>
        <v>259.50400000000002</v>
      </c>
    </row>
    <row r="18" spans="1:15">
      <c r="A18">
        <v>4</v>
      </c>
      <c r="B18">
        <v>0.71509999999999996</v>
      </c>
      <c r="C18">
        <v>6.9199999999999999E-3</v>
      </c>
      <c r="D18">
        <v>-5.7500000000000002E-2</v>
      </c>
      <c r="E18">
        <f t="shared" si="0"/>
        <v>103.33815028901734</v>
      </c>
      <c r="F18" s="1"/>
      <c r="H18">
        <f t="shared" si="1"/>
        <v>700.798</v>
      </c>
      <c r="I18">
        <f t="shared" si="2"/>
        <v>6.781600000000001</v>
      </c>
      <c r="J18">
        <f t="shared" si="3"/>
        <v>271.26400000000001</v>
      </c>
    </row>
    <row r="19" spans="1:15">
      <c r="A19">
        <v>4.5</v>
      </c>
      <c r="B19">
        <v>0.7631</v>
      </c>
      <c r="C19">
        <v>7.2399999999999999E-3</v>
      </c>
      <c r="D19">
        <v>-5.5899999999999998E-2</v>
      </c>
      <c r="E19">
        <f t="shared" si="0"/>
        <v>105.40055248618785</v>
      </c>
      <c r="F19" s="1"/>
      <c r="H19">
        <f t="shared" si="1"/>
        <v>747.83800000000008</v>
      </c>
      <c r="I19">
        <f t="shared" si="2"/>
        <v>7.0952000000000011</v>
      </c>
      <c r="J19">
        <f t="shared" si="3"/>
        <v>283.80800000000005</v>
      </c>
    </row>
    <row r="20" spans="1:15">
      <c r="A20">
        <v>5</v>
      </c>
      <c r="B20">
        <v>0.80969999999999998</v>
      </c>
      <c r="C20">
        <v>7.7299999999999999E-3</v>
      </c>
      <c r="D20">
        <v>-5.4199999999999998E-2</v>
      </c>
      <c r="E20">
        <f t="shared" si="0"/>
        <v>104.7477360931436</v>
      </c>
      <c r="F20" s="1"/>
      <c r="H20">
        <f t="shared" si="1"/>
        <v>793.50600000000009</v>
      </c>
      <c r="I20">
        <f t="shared" si="2"/>
        <v>7.575400000000001</v>
      </c>
      <c r="J20">
        <f t="shared" si="3"/>
        <v>303.01600000000002</v>
      </c>
    </row>
    <row r="21" spans="1:15">
      <c r="A21">
        <v>5.5</v>
      </c>
      <c r="B21">
        <v>0.85589999999999999</v>
      </c>
      <c r="C21">
        <v>8.3300000000000006E-3</v>
      </c>
      <c r="D21">
        <v>-5.2400000000000002E-2</v>
      </c>
      <c r="E21">
        <f t="shared" si="0"/>
        <v>102.74909963985593</v>
      </c>
      <c r="F21" s="1"/>
      <c r="H21">
        <f t="shared" si="1"/>
        <v>838.78200000000004</v>
      </c>
      <c r="I21">
        <f t="shared" si="2"/>
        <v>8.1634000000000011</v>
      </c>
      <c r="J21">
        <f t="shared" si="3"/>
        <v>326.53600000000006</v>
      </c>
    </row>
    <row r="22" spans="1:15">
      <c r="A22">
        <v>6</v>
      </c>
      <c r="B22">
        <v>0.9022</v>
      </c>
      <c r="C22">
        <v>9.0200000000000002E-3</v>
      </c>
      <c r="D22">
        <v>-5.0700000000000002E-2</v>
      </c>
      <c r="E22">
        <f t="shared" si="0"/>
        <v>100.02217294900221</v>
      </c>
      <c r="F22" s="1"/>
      <c r="H22">
        <f t="shared" si="1"/>
        <v>884.15600000000006</v>
      </c>
      <c r="I22">
        <f t="shared" si="2"/>
        <v>8.8396000000000008</v>
      </c>
      <c r="J22">
        <f t="shared" si="3"/>
        <v>353.58400000000006</v>
      </c>
    </row>
    <row r="23" spans="1:15">
      <c r="A23">
        <v>7</v>
      </c>
      <c r="B23">
        <v>0.99419999999999997</v>
      </c>
      <c r="C23">
        <v>1.069E-2</v>
      </c>
      <c r="D23">
        <v>-4.7500000000000001E-2</v>
      </c>
      <c r="E23">
        <f t="shared" si="0"/>
        <v>93.002806361085121</v>
      </c>
      <c r="F23" s="1"/>
      <c r="H23">
        <f t="shared" si="1"/>
        <v>974.31600000000003</v>
      </c>
      <c r="I23">
        <f t="shared" si="2"/>
        <v>10.4762</v>
      </c>
      <c r="J23">
        <f t="shared" si="3"/>
        <v>419.048</v>
      </c>
    </row>
    <row r="24" spans="1:15">
      <c r="A24">
        <v>7.5</v>
      </c>
      <c r="B24">
        <v>1.0407999999999999</v>
      </c>
      <c r="C24">
        <v>1.1509999999999999E-2</v>
      </c>
      <c r="D24">
        <v>-4.6100000000000002E-2</v>
      </c>
      <c r="E24">
        <f t="shared" si="0"/>
        <v>90.425716768027797</v>
      </c>
      <c r="F24" s="1"/>
      <c r="H24">
        <f t="shared" si="1"/>
        <v>1019.984</v>
      </c>
      <c r="I24">
        <f t="shared" si="2"/>
        <v>11.279800000000002</v>
      </c>
      <c r="J24">
        <f t="shared" si="3"/>
        <v>451.19200000000006</v>
      </c>
    </row>
    <row r="25" spans="1:15">
      <c r="A25">
        <v>8</v>
      </c>
      <c r="B25">
        <v>1.0874999999999999</v>
      </c>
      <c r="C25">
        <v>1.23E-2</v>
      </c>
      <c r="D25">
        <v>-4.4699999999999997E-2</v>
      </c>
      <c r="E25">
        <f t="shared" si="0"/>
        <v>88.414634146341456</v>
      </c>
      <c r="F25" s="1"/>
      <c r="H25">
        <f t="shared" si="1"/>
        <v>1065.75</v>
      </c>
      <c r="I25">
        <f t="shared" si="2"/>
        <v>12.054000000000002</v>
      </c>
      <c r="J25">
        <f t="shared" si="3"/>
        <v>482.16000000000008</v>
      </c>
    </row>
    <row r="26" spans="1:15">
      <c r="A26">
        <v>8.5</v>
      </c>
      <c r="B26">
        <v>1.1334</v>
      </c>
      <c r="C26">
        <v>1.3129999999999999E-2</v>
      </c>
      <c r="D26">
        <v>-4.3200000000000002E-2</v>
      </c>
      <c r="E26">
        <f t="shared" si="0"/>
        <v>86.321401370906329</v>
      </c>
      <c r="F26" s="1"/>
      <c r="H26">
        <f t="shared" si="1"/>
        <v>1110.7320000000002</v>
      </c>
      <c r="I26">
        <f t="shared" si="2"/>
        <v>12.8674</v>
      </c>
      <c r="J26">
        <f t="shared" si="3"/>
        <v>514.69600000000003</v>
      </c>
    </row>
    <row r="27" spans="1:15">
      <c r="A27">
        <v>9</v>
      </c>
      <c r="B27">
        <v>1.1795</v>
      </c>
      <c r="C27">
        <v>1.389E-2</v>
      </c>
      <c r="D27">
        <v>-4.1799999999999997E-2</v>
      </c>
      <c r="E27">
        <f t="shared" si="0"/>
        <v>84.917206623470122</v>
      </c>
      <c r="F27" s="1"/>
      <c r="H27">
        <f t="shared" si="1"/>
        <v>1155.9100000000001</v>
      </c>
      <c r="I27">
        <f t="shared" si="2"/>
        <v>13.612200000000001</v>
      </c>
      <c r="J27">
        <f t="shared" si="3"/>
        <v>544.48800000000006</v>
      </c>
    </row>
    <row r="28" spans="1:15">
      <c r="A28">
        <v>9.5</v>
      </c>
      <c r="B28">
        <v>1.224</v>
      </c>
      <c r="C28">
        <v>1.474E-2</v>
      </c>
      <c r="D28">
        <v>-4.0099999999999997E-2</v>
      </c>
      <c r="E28">
        <f t="shared" si="0"/>
        <v>83.03934871099051</v>
      </c>
      <c r="F28" s="1"/>
      <c r="H28">
        <f t="shared" si="1"/>
        <v>1199.5200000000002</v>
      </c>
      <c r="I28">
        <f t="shared" si="2"/>
        <v>14.445200000000002</v>
      </c>
      <c r="J28">
        <f t="shared" si="3"/>
        <v>577.80800000000011</v>
      </c>
    </row>
    <row r="29" spans="1:15">
      <c r="A29">
        <v>10</v>
      </c>
      <c r="B29">
        <v>1.2669999999999999</v>
      </c>
      <c r="C29">
        <v>1.5630000000000002E-2</v>
      </c>
      <c r="D29">
        <v>-3.8300000000000001E-2</v>
      </c>
      <c r="E29">
        <f t="shared" si="0"/>
        <v>81.062060140754937</v>
      </c>
      <c r="F29" s="1"/>
      <c r="H29">
        <f t="shared" si="1"/>
        <v>1241.6600000000001</v>
      </c>
      <c r="I29">
        <f t="shared" si="2"/>
        <v>15.317400000000003</v>
      </c>
      <c r="J29">
        <f t="shared" si="3"/>
        <v>612.69600000000014</v>
      </c>
    </row>
    <row r="30" spans="1:15">
      <c r="A30">
        <v>10.5</v>
      </c>
      <c r="B30">
        <v>1.3063</v>
      </c>
      <c r="C30">
        <v>1.6719999999999999E-2</v>
      </c>
      <c r="D30">
        <v>-3.5900000000000001E-2</v>
      </c>
      <c r="E30">
        <f t="shared" si="0"/>
        <v>78.12799043062202</v>
      </c>
      <c r="F30" s="1"/>
      <c r="H30">
        <f t="shared" si="1"/>
        <v>1280.1740000000002</v>
      </c>
      <c r="I30">
        <f t="shared" si="2"/>
        <v>16.3856</v>
      </c>
      <c r="J30">
        <f t="shared" si="3"/>
        <v>655.42399999999998</v>
      </c>
    </row>
    <row r="31" spans="1:15">
      <c r="A31">
        <v>11</v>
      </c>
      <c r="B31">
        <v>1.347</v>
      </c>
      <c r="C31">
        <v>1.7579999999999998E-2</v>
      </c>
      <c r="D31">
        <v>-3.3700000000000001E-2</v>
      </c>
      <c r="E31">
        <f t="shared" si="0"/>
        <v>76.621160409556325</v>
      </c>
      <c r="F31" s="1"/>
      <c r="H31">
        <f t="shared" si="1"/>
        <v>1320.0600000000002</v>
      </c>
      <c r="I31">
        <f t="shared" si="2"/>
        <v>17.228400000000001</v>
      </c>
      <c r="J31">
        <f t="shared" si="3"/>
        <v>689.13599999999997</v>
      </c>
    </row>
    <row r="32" spans="1:15">
      <c r="A32">
        <v>11.5</v>
      </c>
      <c r="B32">
        <v>1.3794</v>
      </c>
      <c r="C32">
        <v>1.8700000000000001E-2</v>
      </c>
      <c r="D32">
        <v>-3.0300000000000001E-2</v>
      </c>
      <c r="E32">
        <f t="shared" si="0"/>
        <v>73.764705882352928</v>
      </c>
      <c r="F32" s="1"/>
      <c r="H32">
        <f t="shared" si="1"/>
        <v>1351.8120000000001</v>
      </c>
      <c r="I32">
        <f t="shared" si="2"/>
        <v>18.326000000000004</v>
      </c>
      <c r="J32">
        <f t="shared" si="3"/>
        <v>733.04000000000019</v>
      </c>
      <c r="K32" s="1"/>
      <c r="L32" s="2"/>
      <c r="O32" s="2"/>
    </row>
    <row r="33" spans="1:10">
      <c r="A33">
        <v>12</v>
      </c>
      <c r="B33">
        <v>1.3958999999999999</v>
      </c>
      <c r="C33">
        <v>2.0709999999999999E-2</v>
      </c>
      <c r="D33">
        <v>-2.4799999999999999E-2</v>
      </c>
      <c r="E33">
        <f t="shared" si="0"/>
        <v>67.402221149203285</v>
      </c>
      <c r="F33" s="1"/>
      <c r="H33">
        <f t="shared" si="1"/>
        <v>1367.982</v>
      </c>
      <c r="I33">
        <f t="shared" si="2"/>
        <v>20.2958</v>
      </c>
      <c r="J33">
        <f t="shared" si="3"/>
        <v>811.83199999999999</v>
      </c>
    </row>
    <row r="34" spans="1:10">
      <c r="A34">
        <v>12.5</v>
      </c>
      <c r="B34">
        <v>1.4277</v>
      </c>
      <c r="C34">
        <v>2.1870000000000001E-2</v>
      </c>
      <c r="D34">
        <v>-2.1999999999999999E-2</v>
      </c>
      <c r="E34">
        <f t="shared" si="0"/>
        <v>65.281207133058984</v>
      </c>
      <c r="F34" s="1"/>
      <c r="H34">
        <f t="shared" si="1"/>
        <v>1399.1460000000002</v>
      </c>
      <c r="I34">
        <f t="shared" si="2"/>
        <v>21.432600000000004</v>
      </c>
      <c r="J34">
        <f t="shared" si="3"/>
        <v>857.3040000000002</v>
      </c>
    </row>
    <row r="35" spans="1:10">
      <c r="A35">
        <v>13</v>
      </c>
      <c r="B35">
        <v>1.4559</v>
      </c>
      <c r="C35">
        <v>2.333E-2</v>
      </c>
      <c r="D35">
        <v>-1.9E-2</v>
      </c>
      <c r="E35">
        <f t="shared" si="0"/>
        <v>62.404629232747531</v>
      </c>
      <c r="F35" s="1"/>
      <c r="H35">
        <f t="shared" si="1"/>
        <v>1426.7820000000002</v>
      </c>
      <c r="I35">
        <f t="shared" si="2"/>
        <v>22.863400000000002</v>
      </c>
      <c r="J35">
        <f t="shared" si="3"/>
        <v>914.53600000000006</v>
      </c>
    </row>
    <row r="36" spans="1:10">
      <c r="A36">
        <v>13.5</v>
      </c>
      <c r="B36">
        <v>1.4801</v>
      </c>
      <c r="C36">
        <v>2.5139999999999999E-2</v>
      </c>
      <c r="D36">
        <v>-1.61E-2</v>
      </c>
      <c r="E36">
        <f t="shared" si="0"/>
        <v>58.874303898170247</v>
      </c>
      <c r="F36" s="1"/>
      <c r="H36">
        <f t="shared" si="1"/>
        <v>1450.498</v>
      </c>
      <c r="I36">
        <f t="shared" si="2"/>
        <v>24.637200000000004</v>
      </c>
      <c r="J36">
        <f t="shared" si="3"/>
        <v>985.48800000000017</v>
      </c>
    </row>
    <row r="37" spans="1:10">
      <c r="A37">
        <v>14</v>
      </c>
      <c r="B37">
        <v>1.5005999999999999</v>
      </c>
      <c r="C37">
        <v>2.7390000000000001E-2</v>
      </c>
      <c r="D37">
        <v>-1.3299999999999999E-2</v>
      </c>
      <c r="E37">
        <f t="shared" si="0"/>
        <v>54.786418400876229</v>
      </c>
      <c r="F37" s="1"/>
      <c r="H37">
        <f t="shared" si="1"/>
        <v>1470.5880000000002</v>
      </c>
      <c r="I37">
        <f t="shared" si="2"/>
        <v>26.842200000000005</v>
      </c>
      <c r="J37">
        <f t="shared" si="3"/>
        <v>1073.6880000000001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2026-09-25T13:59:12Z</dcterms:created>
  <dcterms:modified xsi:type="dcterms:W3CDTF">2026-09-26T09:35:49Z</dcterms:modified>
  <cp:category/>
  <cp:contentStatus/>
</cp:coreProperties>
</file>